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nh\Documents\Oxford\B1 Coding Practicals\B1 Project - Sustainable Computing\"/>
    </mc:Choice>
  </mc:AlternateContent>
  <xr:revisionPtr revIDLastSave="0" documentId="13_ncr:1_{DA24F3A4-605D-476C-AB37-591C4F62482B}" xr6:coauthVersionLast="47" xr6:coauthVersionMax="47" xr10:uidLastSave="{00000000-0000-0000-0000-000000000000}"/>
  <bookViews>
    <workbookView xWindow="-103" yWindow="-103" windowWidth="22149" windowHeight="13920" xr2:uid="{785C282C-2F67-488B-8F06-CBBC192A2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7" i="1" l="1"/>
  <c r="AD57" i="1"/>
  <c r="AC57" i="1"/>
  <c r="AF56" i="1"/>
  <c r="AG56" i="1" s="1"/>
  <c r="AF55" i="1"/>
  <c r="AG55" i="1" s="1"/>
  <c r="AF54" i="1"/>
  <c r="AG54" i="1" s="1"/>
  <c r="AF53" i="1"/>
  <c r="AG53" i="1" s="1"/>
  <c r="AF52" i="1"/>
  <c r="AG52" i="1" s="1"/>
  <c r="AE51" i="1"/>
  <c r="AD51" i="1"/>
  <c r="AC51" i="1"/>
  <c r="AF50" i="1"/>
  <c r="AG50" i="1" s="1"/>
  <c r="AF49" i="1"/>
  <c r="AG49" i="1" s="1"/>
  <c r="AF48" i="1"/>
  <c r="AG48" i="1" s="1"/>
  <c r="AF47" i="1"/>
  <c r="AG47" i="1" s="1"/>
  <c r="AF46" i="1"/>
  <c r="AF51" i="1" s="1"/>
  <c r="AG51" i="1" s="1"/>
  <c r="AE45" i="1"/>
  <c r="AD45" i="1"/>
  <c r="AC45" i="1"/>
  <c r="AF44" i="1"/>
  <c r="AG44" i="1" s="1"/>
  <c r="AF43" i="1"/>
  <c r="AG43" i="1" s="1"/>
  <c r="AF42" i="1"/>
  <c r="AF41" i="1"/>
  <c r="AG41" i="1" s="1"/>
  <c r="AF40" i="1"/>
  <c r="AG40" i="1" s="1"/>
  <c r="Y28" i="1"/>
  <c r="Y29" i="1"/>
  <c r="Y30" i="1"/>
  <c r="Y31" i="1"/>
  <c r="Y32" i="1"/>
  <c r="Y33" i="1"/>
  <c r="Y34" i="1"/>
  <c r="Y35" i="1"/>
  <c r="Y27" i="1"/>
  <c r="L14" i="1"/>
  <c r="K14" i="1"/>
  <c r="J14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AF45" i="1" l="1"/>
  <c r="AG45" i="1" s="1"/>
  <c r="AF57" i="1"/>
  <c r="AG57" i="1" s="1"/>
  <c r="AG46" i="1"/>
  <c r="AG42" i="1"/>
</calcChain>
</file>

<file path=xl/sharedStrings.xml><?xml version="1.0" encoding="utf-8"?>
<sst xmlns="http://schemas.openxmlformats.org/spreadsheetml/2006/main" count="73" uniqueCount="48">
  <si>
    <t>Recomposition</t>
  </si>
  <si>
    <t>Regression</t>
  </si>
  <si>
    <t>Monthly</t>
  </si>
  <si>
    <t>Hourly</t>
  </si>
  <si>
    <t>MAE</t>
  </si>
  <si>
    <t>RMSE</t>
  </si>
  <si>
    <t>Linear</t>
  </si>
  <si>
    <t>Training MAE</t>
  </si>
  <si>
    <t>-</t>
  </si>
  <si>
    <t>Location</t>
  </si>
  <si>
    <t>Energy (J)</t>
  </si>
  <si>
    <t>Great
Britain</t>
  </si>
  <si>
    <t>North
Sweden</t>
  </si>
  <si>
    <t>New
York</t>
  </si>
  <si>
    <t>Trial</t>
  </si>
  <si>
    <t>Environment</t>
  </si>
  <si>
    <t>Runtime (s)</t>
  </si>
  <si>
    <t>#1</t>
  </si>
  <si>
    <t>#2</t>
  </si>
  <si>
    <t>#3</t>
  </si>
  <si>
    <t>#4</t>
  </si>
  <si>
    <t>#5</t>
  </si>
  <si>
    <t>Jupyter
Notebook</t>
  </si>
  <si>
    <t>Average</t>
  </si>
  <si>
    <t>Emissions (mg)</t>
  </si>
  <si>
    <t>Static (W)</t>
  </si>
  <si>
    <t>Running (W)</t>
  </si>
  <si>
    <t>Runtime</t>
  </si>
  <si>
    <t>A</t>
  </si>
  <si>
    <t>B</t>
  </si>
  <si>
    <t>CI</t>
  </si>
  <si>
    <t>Metric</t>
  </si>
  <si>
    <t>Piecewise</t>
  </si>
  <si>
    <t>Nonlinear</t>
  </si>
  <si>
    <t>Overall</t>
  </si>
  <si>
    <t>State</t>
  </si>
  <si>
    <t>Initial</t>
  </si>
  <si>
    <t>Final / C</t>
  </si>
  <si>
    <t>Persistence</t>
  </si>
  <si>
    <t>RV MAE</t>
  </si>
  <si>
    <r>
      <rPr>
        <b/>
        <sz val="10.5"/>
        <color theme="1"/>
        <rFont val="Times New Roman"/>
        <family val="1"/>
      </rPr>
      <t xml:space="preserve">Table 1: </t>
    </r>
    <r>
      <rPr>
        <sz val="10.5"/>
        <color theme="1"/>
        <rFont val="Times New Roman"/>
        <family val="1"/>
      </rPr>
      <t>Performance of monthly regression models, including MAE (gCO2/kWh) and runtime (seconds)</t>
    </r>
  </si>
  <si>
    <r>
      <t xml:space="preserve">Table 2: </t>
    </r>
    <r>
      <rPr>
        <sz val="10.5"/>
        <color theme="1"/>
        <rFont val="Times New Roman"/>
        <family val="1"/>
      </rPr>
      <t>Impact of successive system-level optimisations on runtime of regression and recomposition methods</t>
    </r>
  </si>
  <si>
    <r>
      <t xml:space="preserve">Table 3: </t>
    </r>
    <r>
      <rPr>
        <sz val="10.5"/>
        <color theme="1"/>
        <rFont val="Times New Roman"/>
        <family val="1"/>
      </rPr>
      <t>Evaluation of forecast errors (gCO2/kWh) and runtime (seconds) of our models, compared to the persistence baseline</t>
    </r>
  </si>
  <si>
    <t>GMT</t>
  </si>
  <si>
    <t>Emissions</t>
  </si>
  <si>
    <r>
      <t xml:space="preserve">Table 4: </t>
    </r>
    <r>
      <rPr>
        <sz val="10.5"/>
        <color theme="1"/>
        <rFont val="Times New Roman"/>
        <family val="1"/>
      </rPr>
      <t>Carbon emissions (mg) of executed code (113.9 J) for different locations and hours</t>
    </r>
  </si>
  <si>
    <t>VSC
Terminal</t>
  </si>
  <si>
    <t>Windows
PowerShell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</si>
</sst>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2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4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5616-5ED5-40D9-AF2F-47EC28B4C696}">
  <dimension ref="B2:AG57"/>
  <sheetViews>
    <sheetView tabSelected="1" zoomScale="115" zoomScaleNormal="100" workbookViewId="0">
      <selection activeCell="Y47" sqref="Y47"/>
    </sheetView>
  </sheetViews>
  <sheetFormatPr defaultRowHeight="14.15" x14ac:dyDescent="0.35"/>
  <cols>
    <col min="1" max="1" width="9.23046875" style="1"/>
    <col min="2" max="2" width="13.69140625" style="1" customWidth="1"/>
    <col min="3" max="5" width="9.69140625" style="1" customWidth="1"/>
    <col min="6" max="6" width="8.69140625" style="1" customWidth="1"/>
    <col min="7" max="7" width="9.23046875" style="1" customWidth="1"/>
    <col min="8" max="11" width="8.23046875" style="1" customWidth="1"/>
    <col min="12" max="13" width="7.69140625" style="1" customWidth="1"/>
    <col min="14" max="14" width="9.23046875" style="1" customWidth="1"/>
    <col min="15" max="20" width="8.23046875" style="1" customWidth="1"/>
    <col min="21" max="21" width="12.69140625" style="1" customWidth="1"/>
    <col min="22" max="22" width="10.69140625" style="1" customWidth="1"/>
    <col min="23" max="23" width="8.69140625" style="1" customWidth="1"/>
    <col min="24" max="24" width="7.69140625" style="1" customWidth="1"/>
    <col min="25" max="25" width="9.69140625" style="1" customWidth="1"/>
    <col min="26" max="26" width="9.23046875" style="1"/>
    <col min="27" max="27" width="13.69140625" style="1" customWidth="1"/>
    <col min="28" max="28" width="9.23046875" style="1"/>
    <col min="29" max="29" width="11.69140625" style="1" customWidth="1"/>
    <col min="30" max="30" width="13.23046875" style="1" customWidth="1"/>
    <col min="31" max="32" width="12.23046875" style="1" customWidth="1"/>
    <col min="33" max="33" width="15.23046875" style="1" customWidth="1"/>
    <col min="34" max="16384" width="9.23046875" style="1"/>
  </cols>
  <sheetData>
    <row r="2" spans="2:12" x14ac:dyDescent="0.35">
      <c r="B2" s="7" t="s">
        <v>31</v>
      </c>
      <c r="C2" s="7" t="s">
        <v>6</v>
      </c>
      <c r="D2" s="7" t="s">
        <v>32</v>
      </c>
      <c r="E2" s="7" t="s">
        <v>33</v>
      </c>
      <c r="G2" s="49"/>
      <c r="H2" s="48"/>
      <c r="I2" s="48"/>
      <c r="J2" s="48"/>
      <c r="K2" s="48"/>
      <c r="L2" s="49"/>
    </row>
    <row r="3" spans="2:12" x14ac:dyDescent="0.35">
      <c r="B3" s="2" t="s">
        <v>39</v>
      </c>
      <c r="C3" s="3">
        <v>47.1</v>
      </c>
      <c r="D3" s="3">
        <v>30.82</v>
      </c>
      <c r="E3" s="3">
        <v>24.19</v>
      </c>
      <c r="G3" s="49"/>
      <c r="H3" s="4"/>
      <c r="I3" s="4"/>
      <c r="J3" s="4"/>
      <c r="K3" s="4"/>
      <c r="L3" s="50"/>
    </row>
    <row r="4" spans="2:12" x14ac:dyDescent="0.35">
      <c r="B4" s="5" t="s">
        <v>7</v>
      </c>
      <c r="C4" s="6">
        <v>44</v>
      </c>
      <c r="D4" s="6">
        <v>30.87</v>
      </c>
      <c r="E4" s="6">
        <v>23.75</v>
      </c>
      <c r="G4" s="4"/>
      <c r="H4" s="10"/>
      <c r="I4" s="10"/>
      <c r="J4" s="10"/>
      <c r="K4" s="10"/>
      <c r="L4" s="10"/>
    </row>
    <row r="5" spans="2:12" x14ac:dyDescent="0.35">
      <c r="B5" s="8" t="s">
        <v>16</v>
      </c>
      <c r="C5" s="9">
        <v>0.25</v>
      </c>
      <c r="D5" s="9">
        <v>5.81</v>
      </c>
      <c r="E5" s="9">
        <v>205.23</v>
      </c>
      <c r="G5" s="4"/>
      <c r="H5" s="10"/>
      <c r="I5" s="10"/>
      <c r="J5" s="10"/>
      <c r="K5" s="10"/>
      <c r="L5" s="10"/>
    </row>
    <row r="6" spans="2:12" x14ac:dyDescent="0.35">
      <c r="B6" s="40" t="s">
        <v>40</v>
      </c>
      <c r="C6" s="40"/>
      <c r="D6" s="40"/>
      <c r="E6" s="40"/>
      <c r="G6" s="4"/>
      <c r="H6" s="10"/>
      <c r="I6" s="10"/>
      <c r="J6" s="10"/>
      <c r="K6" s="10"/>
      <c r="L6" s="10"/>
    </row>
    <row r="7" spans="2:12" x14ac:dyDescent="0.35">
      <c r="B7" s="40"/>
      <c r="C7" s="40"/>
      <c r="D7" s="40"/>
      <c r="E7" s="40"/>
      <c r="G7" s="4"/>
      <c r="H7" s="11"/>
      <c r="I7" s="11"/>
      <c r="J7" s="11"/>
      <c r="K7" s="11"/>
      <c r="L7" s="11"/>
    </row>
    <row r="9" spans="2:12" x14ac:dyDescent="0.35">
      <c r="G9" s="36" t="s">
        <v>35</v>
      </c>
      <c r="H9" s="38" t="s">
        <v>1</v>
      </c>
      <c r="I9" s="38"/>
      <c r="J9" s="38" t="s">
        <v>0</v>
      </c>
      <c r="K9" s="38"/>
      <c r="L9" s="36" t="s">
        <v>34</v>
      </c>
    </row>
    <row r="10" spans="2:12" x14ac:dyDescent="0.35">
      <c r="G10" s="37"/>
      <c r="H10" s="15" t="s">
        <v>2</v>
      </c>
      <c r="I10" s="15" t="s">
        <v>3</v>
      </c>
      <c r="J10" s="15" t="s">
        <v>2</v>
      </c>
      <c r="K10" s="15" t="s">
        <v>3</v>
      </c>
      <c r="L10" s="39"/>
    </row>
    <row r="11" spans="2:12" x14ac:dyDescent="0.35">
      <c r="G11" s="16" t="s">
        <v>36</v>
      </c>
      <c r="H11" s="12">
        <f>AVERAGE(206.1248, 204.8742, 204.6861)</f>
        <v>205.22836666666669</v>
      </c>
      <c r="I11" s="12">
        <f>AVERAGE(3.9928, 4.0153, 3.9822)</f>
        <v>3.9967666666666664</v>
      </c>
      <c r="J11" s="12">
        <f>AVERAGE(0.0429, 0.0414, 0.04)</f>
        <v>4.1433333333333329E-2</v>
      </c>
      <c r="K11" s="12">
        <f>AVERAGE(0.3771, 0.307, 0.2975)</f>
        <v>0.32719999999999999</v>
      </c>
      <c r="L11" s="12">
        <f>AVERAGE(212.059, 210.7202, 210.489)</f>
        <v>211.08939999999998</v>
      </c>
    </row>
    <row r="12" spans="2:12" x14ac:dyDescent="0.35">
      <c r="B12" s="17"/>
      <c r="C12" s="17"/>
      <c r="D12" s="17"/>
      <c r="E12" s="17"/>
      <c r="G12" s="4" t="s">
        <v>28</v>
      </c>
      <c r="H12" s="10">
        <f>AVERAGE(11.0798, 11.0523, 11.1552)</f>
        <v>11.095766666666668</v>
      </c>
      <c r="I12" s="10">
        <f>AVERAGE(3.9307, 3.9461, 3.9228)</f>
        <v>3.9331999999999998</v>
      </c>
      <c r="J12" s="10">
        <f>AVERAGE(0.0393, 0.0425, 0.0402)</f>
        <v>4.066666666666667E-2</v>
      </c>
      <c r="K12" s="10">
        <f>AVERAGE(0.3088, 0.3363, 0.3101)</f>
        <v>0.31840000000000002</v>
      </c>
      <c r="L12" s="10">
        <f>AVERAGE(16.8147, 16.8885, 16.8871)</f>
        <v>16.863433333333333</v>
      </c>
    </row>
    <row r="13" spans="2:12" x14ac:dyDescent="0.35">
      <c r="B13" s="17"/>
      <c r="C13" s="17"/>
      <c r="D13" s="17"/>
      <c r="E13" s="17"/>
      <c r="G13" s="15" t="s">
        <v>29</v>
      </c>
      <c r="H13" s="13">
        <f>AVERAGE(1.7478, 1.7754, 1.7356)</f>
        <v>1.7529333333333332</v>
      </c>
      <c r="I13" s="13">
        <f>AVERAGE(2.1354, 2.1457, 2.1275)</f>
        <v>2.1362000000000001</v>
      </c>
      <c r="J13" s="13">
        <f>AVERAGE(0.0248, 0.0238, 0.0262)</f>
        <v>2.4933333333333335E-2</v>
      </c>
      <c r="K13" s="13">
        <f>AVERAGE(0.3061, 0.3076, 0.3026)</f>
        <v>0.30543333333333328</v>
      </c>
      <c r="L13" s="13">
        <f>AVERAGE(5.6727, 5.7183, 5.6459)</f>
        <v>5.6789666666666667</v>
      </c>
    </row>
    <row r="14" spans="2:12" x14ac:dyDescent="0.35">
      <c r="G14" s="15" t="s">
        <v>37</v>
      </c>
      <c r="H14" s="14">
        <f>AVERAGE(1.7528, 1.7345, 1.7458)</f>
        <v>1.7443666666666668</v>
      </c>
      <c r="I14" s="14">
        <f>AVERAGE(2.17, 2.1424, 2.1373)</f>
        <v>2.1499000000000001</v>
      </c>
      <c r="J14" s="14">
        <f>AVERAGE(0.0231, 0.0232, 0.0225)</f>
        <v>2.2933333333333333E-2</v>
      </c>
      <c r="K14" s="14">
        <f>AVERAGE(0.063, 0.0665, 0.0625)</f>
        <v>6.4000000000000001E-2</v>
      </c>
      <c r="L14" s="14">
        <f>AVERAGE(5.4776, 5.4377, 5.4271)</f>
        <v>5.4474666666666671</v>
      </c>
    </row>
    <row r="15" spans="2:12" x14ac:dyDescent="0.35">
      <c r="G15" s="35" t="s">
        <v>41</v>
      </c>
      <c r="H15" s="35"/>
      <c r="I15" s="35"/>
      <c r="J15" s="35"/>
      <c r="K15" s="35"/>
      <c r="L15" s="35"/>
    </row>
    <row r="16" spans="2:12" x14ac:dyDescent="0.35">
      <c r="G16" s="29"/>
      <c r="H16" s="29"/>
      <c r="I16" s="29"/>
      <c r="J16" s="29"/>
      <c r="K16" s="29"/>
      <c r="L16" s="29"/>
    </row>
    <row r="17" spans="7:25" x14ac:dyDescent="0.35">
      <c r="G17" s="4"/>
      <c r="H17" s="11"/>
      <c r="I17" s="11"/>
      <c r="J17" s="11"/>
      <c r="K17" s="11"/>
      <c r="L17" s="11"/>
    </row>
    <row r="18" spans="7:25" x14ac:dyDescent="0.35">
      <c r="N18" s="42" t="s">
        <v>31</v>
      </c>
      <c r="O18" s="41" t="s">
        <v>1</v>
      </c>
      <c r="P18" s="41"/>
      <c r="Q18" s="41" t="s">
        <v>0</v>
      </c>
      <c r="R18" s="41"/>
      <c r="S18" s="41" t="s">
        <v>38</v>
      </c>
      <c r="T18" s="41"/>
    </row>
    <row r="19" spans="7:25" x14ac:dyDescent="0.35">
      <c r="N19" s="39"/>
      <c r="O19" s="9" t="s">
        <v>2</v>
      </c>
      <c r="P19" s="9" t="s">
        <v>3</v>
      </c>
      <c r="Q19" s="9" t="s">
        <v>2</v>
      </c>
      <c r="R19" s="9" t="s">
        <v>3</v>
      </c>
      <c r="S19" s="9" t="s">
        <v>2</v>
      </c>
      <c r="T19" s="9" t="s">
        <v>3</v>
      </c>
    </row>
    <row r="20" spans="7:25" x14ac:dyDescent="0.35">
      <c r="N20" s="4" t="s">
        <v>4</v>
      </c>
      <c r="O20" s="3">
        <v>11.76</v>
      </c>
      <c r="P20" s="3">
        <v>45.75</v>
      </c>
      <c r="Q20" s="3">
        <v>22.64</v>
      </c>
      <c r="R20" s="3">
        <v>45.64</v>
      </c>
      <c r="S20" s="3">
        <v>16.22</v>
      </c>
      <c r="T20" s="3">
        <v>56.33</v>
      </c>
    </row>
    <row r="21" spans="7:25" x14ac:dyDescent="0.35">
      <c r="N21" s="15" t="s">
        <v>5</v>
      </c>
      <c r="O21" s="6">
        <v>14.04</v>
      </c>
      <c r="P21" s="6">
        <v>54.66</v>
      </c>
      <c r="Q21" s="6">
        <v>25.58</v>
      </c>
      <c r="R21" s="6">
        <v>57.22</v>
      </c>
      <c r="S21" s="6">
        <v>20.32</v>
      </c>
      <c r="T21" s="6">
        <v>70.72</v>
      </c>
    </row>
    <row r="22" spans="7:25" x14ac:dyDescent="0.35">
      <c r="N22" s="9" t="s">
        <v>27</v>
      </c>
      <c r="O22" s="18">
        <v>1.744</v>
      </c>
      <c r="P22" s="18">
        <v>2.15</v>
      </c>
      <c r="Q22" s="18">
        <v>2.3E-2</v>
      </c>
      <c r="R22" s="18">
        <v>6.4000000000000001E-2</v>
      </c>
      <c r="S22" s="19" t="s">
        <v>8</v>
      </c>
      <c r="T22" s="19" t="s">
        <v>8</v>
      </c>
    </row>
    <row r="23" spans="7:25" x14ac:dyDescent="0.35">
      <c r="N23" s="35" t="s">
        <v>42</v>
      </c>
      <c r="O23" s="35"/>
      <c r="P23" s="35"/>
      <c r="Q23" s="35"/>
      <c r="R23" s="35"/>
      <c r="S23" s="35"/>
      <c r="T23" s="35"/>
    </row>
    <row r="24" spans="7:25" x14ac:dyDescent="0.35">
      <c r="N24" s="29"/>
      <c r="O24" s="29"/>
      <c r="P24" s="29"/>
      <c r="Q24" s="29"/>
      <c r="R24" s="29"/>
      <c r="S24" s="29"/>
      <c r="T24" s="29"/>
    </row>
    <row r="26" spans="7:25" ht="13.5" customHeight="1" x14ac:dyDescent="0.35">
      <c r="V26" s="26" t="s">
        <v>9</v>
      </c>
      <c r="W26" s="26" t="s">
        <v>43</v>
      </c>
      <c r="X26" s="26" t="s">
        <v>30</v>
      </c>
      <c r="Y26" s="26" t="s">
        <v>44</v>
      </c>
    </row>
    <row r="27" spans="7:25" ht="13.5" customHeight="1" x14ac:dyDescent="0.35">
      <c r="V27" s="30" t="s">
        <v>11</v>
      </c>
      <c r="W27" s="22">
        <v>8.3333333333333329E-2</v>
      </c>
      <c r="X27" s="23">
        <v>67</v>
      </c>
      <c r="Y27" s="10">
        <f>(113.9/(3600*1000))*X27*(10^3)</f>
        <v>2.1198055555555557</v>
      </c>
    </row>
    <row r="28" spans="7:25" ht="13.5" customHeight="1" x14ac:dyDescent="0.35">
      <c r="V28" s="33"/>
      <c r="W28" s="20">
        <v>0.41666666666666669</v>
      </c>
      <c r="X28" s="21">
        <v>93</v>
      </c>
      <c r="Y28" s="10">
        <f t="shared" ref="Y28:Y35" si="0">(113.9/(3600*1000))*X28*(10^3)</f>
        <v>2.9424166666666669</v>
      </c>
    </row>
    <row r="29" spans="7:25" ht="13.5" customHeight="1" x14ac:dyDescent="0.35">
      <c r="V29" s="34"/>
      <c r="W29" s="24">
        <v>0.75</v>
      </c>
      <c r="X29" s="25">
        <v>167</v>
      </c>
      <c r="Y29" s="13">
        <f t="shared" si="0"/>
        <v>5.2836944444444454</v>
      </c>
    </row>
    <row r="30" spans="7:25" ht="13.5" customHeight="1" x14ac:dyDescent="0.35">
      <c r="V30" s="30" t="s">
        <v>12</v>
      </c>
      <c r="W30" s="22">
        <v>8.3333333333333329E-2</v>
      </c>
      <c r="X30" s="23">
        <v>13</v>
      </c>
      <c r="Y30" s="10">
        <f t="shared" si="0"/>
        <v>0.41130555555555559</v>
      </c>
    </row>
    <row r="31" spans="7:25" ht="13.5" customHeight="1" x14ac:dyDescent="0.35">
      <c r="V31" s="33"/>
      <c r="W31" s="20">
        <v>0.41666666666666669</v>
      </c>
      <c r="X31" s="21">
        <v>13</v>
      </c>
      <c r="Y31" s="10">
        <f t="shared" si="0"/>
        <v>0.41130555555555559</v>
      </c>
    </row>
    <row r="32" spans="7:25" ht="13.5" customHeight="1" x14ac:dyDescent="0.35">
      <c r="V32" s="34"/>
      <c r="W32" s="24">
        <v>0.75</v>
      </c>
      <c r="X32" s="25">
        <v>13</v>
      </c>
      <c r="Y32" s="13">
        <f t="shared" si="0"/>
        <v>0.41130555555555559</v>
      </c>
    </row>
    <row r="33" spans="22:33" ht="13.5" customHeight="1" x14ac:dyDescent="0.35">
      <c r="V33" s="30" t="s">
        <v>13</v>
      </c>
      <c r="W33" s="22">
        <v>8.3333333333333329E-2</v>
      </c>
      <c r="X33" s="23">
        <v>319</v>
      </c>
      <c r="Y33" s="10">
        <f t="shared" si="0"/>
        <v>10.092805555555556</v>
      </c>
    </row>
    <row r="34" spans="22:33" ht="13.5" customHeight="1" x14ac:dyDescent="0.35">
      <c r="V34" s="33"/>
      <c r="W34" s="20">
        <v>0.41666666666666669</v>
      </c>
      <c r="X34" s="21">
        <v>330</v>
      </c>
      <c r="Y34" s="10">
        <f t="shared" si="0"/>
        <v>10.440833333333334</v>
      </c>
    </row>
    <row r="35" spans="22:33" ht="13.5" customHeight="1" x14ac:dyDescent="0.35">
      <c r="V35" s="34"/>
      <c r="W35" s="24">
        <v>0.75</v>
      </c>
      <c r="X35" s="25">
        <v>324</v>
      </c>
      <c r="Y35" s="13">
        <f t="shared" si="0"/>
        <v>10.251000000000001</v>
      </c>
    </row>
    <row r="36" spans="22:33" ht="13.5" customHeight="1" x14ac:dyDescent="0.35">
      <c r="V36" s="29" t="s">
        <v>45</v>
      </c>
      <c r="W36" s="29"/>
      <c r="X36" s="29"/>
      <c r="Y36" s="29"/>
    </row>
    <row r="37" spans="22:33" ht="13.5" customHeight="1" x14ac:dyDescent="0.35">
      <c r="V37" s="29"/>
      <c r="W37" s="29"/>
      <c r="X37" s="29"/>
      <c r="Y37" s="29"/>
    </row>
    <row r="39" spans="22:33" x14ac:dyDescent="0.35">
      <c r="AA39" s="7" t="s">
        <v>15</v>
      </c>
      <c r="AB39" s="7" t="s">
        <v>14</v>
      </c>
      <c r="AC39" s="7" t="s">
        <v>25</v>
      </c>
      <c r="AD39" s="7" t="s">
        <v>26</v>
      </c>
      <c r="AE39" s="7" t="s">
        <v>16</v>
      </c>
      <c r="AF39" s="7" t="s">
        <v>10</v>
      </c>
      <c r="AG39" s="7" t="s">
        <v>24</v>
      </c>
    </row>
    <row r="40" spans="22:33" x14ac:dyDescent="0.35">
      <c r="AA40" s="30" t="s">
        <v>46</v>
      </c>
      <c r="AB40" s="23" t="s">
        <v>17</v>
      </c>
      <c r="AC40" s="23">
        <v>6.66</v>
      </c>
      <c r="AD40" s="23">
        <v>23.79</v>
      </c>
      <c r="AE40" s="12">
        <v>5.6459999999999999</v>
      </c>
      <c r="AF40" s="12">
        <f>AD40*AE40</f>
        <v>134.31834000000001</v>
      </c>
      <c r="AG40" s="12">
        <f>(AF40/(1000*3600))*177*1000</f>
        <v>6.6039850500000012</v>
      </c>
    </row>
    <row r="41" spans="22:33" x14ac:dyDescent="0.35">
      <c r="AA41" s="31"/>
      <c r="AB41" s="21" t="s">
        <v>18</v>
      </c>
      <c r="AC41" s="21">
        <v>7.94</v>
      </c>
      <c r="AD41" s="21">
        <v>22.69</v>
      </c>
      <c r="AE41" s="10">
        <v>5.657</v>
      </c>
      <c r="AF41" s="10">
        <f>AD41*AE41</f>
        <v>128.35733000000002</v>
      </c>
      <c r="AG41" s="10">
        <f t="shared" ref="AG41:AG45" si="1">(AF41/(1000*3600))*177*1000</f>
        <v>6.3109020583333351</v>
      </c>
    </row>
    <row r="42" spans="22:33" x14ac:dyDescent="0.35">
      <c r="AA42" s="31"/>
      <c r="AB42" s="21" t="s">
        <v>19</v>
      </c>
      <c r="AC42" s="21">
        <v>7.34</v>
      </c>
      <c r="AD42" s="21">
        <v>22.97</v>
      </c>
      <c r="AE42" s="10">
        <v>5.5250000000000004</v>
      </c>
      <c r="AF42" s="10">
        <f>AD42*AE42</f>
        <v>126.90925</v>
      </c>
      <c r="AG42" s="10">
        <f t="shared" si="1"/>
        <v>6.239704791666667</v>
      </c>
    </row>
    <row r="43" spans="22:33" x14ac:dyDescent="0.35">
      <c r="AA43" s="31"/>
      <c r="AB43" s="21" t="s">
        <v>20</v>
      </c>
      <c r="AC43" s="21">
        <v>7.33</v>
      </c>
      <c r="AD43" s="21">
        <v>23.32</v>
      </c>
      <c r="AE43" s="10">
        <v>5.69</v>
      </c>
      <c r="AF43" s="10">
        <f>AD43*AE43</f>
        <v>132.69080000000002</v>
      </c>
      <c r="AG43" s="10">
        <f t="shared" si="1"/>
        <v>6.5239643333333355</v>
      </c>
    </row>
    <row r="44" spans="22:33" x14ac:dyDescent="0.35">
      <c r="AA44" s="31"/>
      <c r="AB44" s="25" t="s">
        <v>21</v>
      </c>
      <c r="AC44" s="25">
        <v>7.79</v>
      </c>
      <c r="AD44" s="25">
        <v>24.21</v>
      </c>
      <c r="AE44" s="13">
        <v>5.5289999999999999</v>
      </c>
      <c r="AF44" s="13">
        <f>AD44*AE44</f>
        <v>133.85709</v>
      </c>
      <c r="AG44" s="13">
        <f t="shared" si="1"/>
        <v>6.5813069249999998</v>
      </c>
    </row>
    <row r="45" spans="22:33" x14ac:dyDescent="0.35">
      <c r="AA45" s="32"/>
      <c r="AB45" s="27" t="s">
        <v>23</v>
      </c>
      <c r="AC45" s="28">
        <f>AVERAGE(AC40:AC44)</f>
        <v>7.4120000000000008</v>
      </c>
      <c r="AD45" s="28">
        <f t="shared" ref="AD45:AF45" si="2">AVERAGE(AD40:AD44)</f>
        <v>23.396000000000004</v>
      </c>
      <c r="AE45" s="28">
        <f t="shared" si="2"/>
        <v>5.6094000000000008</v>
      </c>
      <c r="AF45" s="28">
        <f t="shared" si="2"/>
        <v>131.226562</v>
      </c>
      <c r="AG45" s="14">
        <f t="shared" si="1"/>
        <v>6.451972631666667</v>
      </c>
    </row>
    <row r="46" spans="22:33" x14ac:dyDescent="0.35">
      <c r="AA46" s="30" t="s">
        <v>47</v>
      </c>
      <c r="AB46" s="23" t="s">
        <v>17</v>
      </c>
      <c r="AC46" s="23">
        <v>5.63</v>
      </c>
      <c r="AD46" s="23">
        <v>20.39</v>
      </c>
      <c r="AE46" s="12">
        <v>5.7119999999999997</v>
      </c>
      <c r="AF46" s="12">
        <f>AD46*AE46</f>
        <v>116.46768</v>
      </c>
      <c r="AG46" s="12">
        <f t="shared" ref="AG46:AG57" si="3">(AF46/(1000*3600))*177*1000</f>
        <v>5.7263276000000003</v>
      </c>
    </row>
    <row r="47" spans="22:33" x14ac:dyDescent="0.35">
      <c r="AA47" s="46"/>
      <c r="AB47" s="44" t="s">
        <v>18</v>
      </c>
      <c r="AC47" s="44">
        <v>5.87</v>
      </c>
      <c r="AD47" s="44">
        <v>21.11</v>
      </c>
      <c r="AE47" s="45">
        <v>5.4690000000000003</v>
      </c>
      <c r="AF47" s="45">
        <f>AD47*AE47</f>
        <v>115.45059000000001</v>
      </c>
      <c r="AG47" s="45">
        <f t="shared" si="3"/>
        <v>5.6763206749999995</v>
      </c>
    </row>
    <row r="48" spans="22:33" x14ac:dyDescent="0.35">
      <c r="AA48" s="46"/>
      <c r="AB48" s="44" t="s">
        <v>19</v>
      </c>
      <c r="AC48" s="44">
        <v>7.67</v>
      </c>
      <c r="AD48" s="44">
        <v>19.8</v>
      </c>
      <c r="AE48" s="45">
        <v>5.7569999999999997</v>
      </c>
      <c r="AF48" s="45">
        <f>AD48*AE48</f>
        <v>113.98859999999999</v>
      </c>
      <c r="AG48" s="45">
        <f t="shared" si="3"/>
        <v>5.6044394999999998</v>
      </c>
    </row>
    <row r="49" spans="27:33" x14ac:dyDescent="0.35">
      <c r="AA49" s="46"/>
      <c r="AB49" s="44" t="s">
        <v>20</v>
      </c>
      <c r="AC49" s="45">
        <v>5.22</v>
      </c>
      <c r="AD49" s="44">
        <v>20.14</v>
      </c>
      <c r="AE49" s="45">
        <v>5.5010000000000003</v>
      </c>
      <c r="AF49" s="45">
        <f>AD49*AE49</f>
        <v>110.79014000000001</v>
      </c>
      <c r="AG49" s="45">
        <f t="shared" si="3"/>
        <v>5.4471818833333332</v>
      </c>
    </row>
    <row r="50" spans="27:33" x14ac:dyDescent="0.35">
      <c r="AA50" s="46"/>
      <c r="AB50" s="25" t="s">
        <v>21</v>
      </c>
      <c r="AC50" s="13">
        <v>5.72</v>
      </c>
      <c r="AD50" s="25">
        <v>20.69</v>
      </c>
      <c r="AE50" s="13">
        <v>5.4619999999999997</v>
      </c>
      <c r="AF50" s="13">
        <f>AD50*AE50</f>
        <v>113.00878</v>
      </c>
      <c r="AG50" s="13">
        <f t="shared" si="3"/>
        <v>5.5562650166666669</v>
      </c>
    </row>
    <row r="51" spans="27:33" x14ac:dyDescent="0.35">
      <c r="AA51" s="34"/>
      <c r="AB51" s="27" t="s">
        <v>23</v>
      </c>
      <c r="AC51" s="28">
        <f>AVERAGE(AC46:AC50)</f>
        <v>6.0220000000000002</v>
      </c>
      <c r="AD51" s="28">
        <f t="shared" ref="AD51:AF51" si="4">AVERAGE(AD46:AD50)</f>
        <v>20.425999999999998</v>
      </c>
      <c r="AE51" s="28">
        <f t="shared" si="4"/>
        <v>5.5802000000000005</v>
      </c>
      <c r="AF51" s="28">
        <f t="shared" si="4"/>
        <v>113.941158</v>
      </c>
      <c r="AG51" s="14">
        <f t="shared" si="3"/>
        <v>5.6021069350000001</v>
      </c>
    </row>
    <row r="52" spans="27:33" x14ac:dyDescent="0.35">
      <c r="AA52" s="30" t="s">
        <v>22</v>
      </c>
      <c r="AB52" s="23" t="s">
        <v>17</v>
      </c>
      <c r="AC52" s="23">
        <v>7.49</v>
      </c>
      <c r="AD52" s="23">
        <v>24.08</v>
      </c>
      <c r="AE52" s="51">
        <v>4.7910000000000004</v>
      </c>
      <c r="AF52" s="12">
        <f>AD52*AE52</f>
        <v>115.36727999999999</v>
      </c>
      <c r="AG52" s="12">
        <f t="shared" si="3"/>
        <v>5.672224599999999</v>
      </c>
    </row>
    <row r="53" spans="27:33" x14ac:dyDescent="0.35">
      <c r="AA53" s="43"/>
      <c r="AB53" s="44" t="s">
        <v>18</v>
      </c>
      <c r="AC53" s="44">
        <v>7.25</v>
      </c>
      <c r="AD53" s="44">
        <v>23.49</v>
      </c>
      <c r="AE53" s="47">
        <v>4.82</v>
      </c>
      <c r="AF53" s="45">
        <f>AD53*AE53</f>
        <v>113.2218</v>
      </c>
      <c r="AG53" s="45">
        <f t="shared" si="3"/>
        <v>5.5667384999999996</v>
      </c>
    </row>
    <row r="54" spans="27:33" x14ac:dyDescent="0.35">
      <c r="AA54" s="43"/>
      <c r="AB54" s="44" t="s">
        <v>19</v>
      </c>
      <c r="AC54" s="44">
        <v>7.12</v>
      </c>
      <c r="AD54" s="44">
        <v>23.83</v>
      </c>
      <c r="AE54" s="47">
        <v>4.7990000000000004</v>
      </c>
      <c r="AF54" s="45">
        <f>AD54*AE54</f>
        <v>114.36017</v>
      </c>
      <c r="AG54" s="45">
        <f t="shared" si="3"/>
        <v>5.622708358333333</v>
      </c>
    </row>
    <row r="55" spans="27:33" x14ac:dyDescent="0.35">
      <c r="AA55" s="43"/>
      <c r="AB55" s="44" t="s">
        <v>20</v>
      </c>
      <c r="AC55" s="44">
        <v>7.17</v>
      </c>
      <c r="AD55" s="44">
        <v>25.46</v>
      </c>
      <c r="AE55" s="47">
        <v>4.7910000000000004</v>
      </c>
      <c r="AF55" s="45">
        <f>AD55*AE55</f>
        <v>121.97886000000001</v>
      </c>
      <c r="AG55" s="45">
        <f t="shared" si="3"/>
        <v>5.9972939500000004</v>
      </c>
    </row>
    <row r="56" spans="27:33" x14ac:dyDescent="0.35">
      <c r="AA56" s="43"/>
      <c r="AB56" s="25" t="s">
        <v>21</v>
      </c>
      <c r="AC56" s="25">
        <v>7.32</v>
      </c>
      <c r="AD56" s="25">
        <v>23.14</v>
      </c>
      <c r="AE56" s="52">
        <v>4.75</v>
      </c>
      <c r="AF56" s="13">
        <f>AD56*AE56</f>
        <v>109.91500000000001</v>
      </c>
      <c r="AG56" s="13">
        <f t="shared" si="3"/>
        <v>5.4041541666666673</v>
      </c>
    </row>
    <row r="57" spans="27:33" x14ac:dyDescent="0.35">
      <c r="AA57" s="32"/>
      <c r="AB57" s="27" t="s">
        <v>23</v>
      </c>
      <c r="AC57" s="28">
        <f>AVERAGE(AC52:AC56)</f>
        <v>7.2700000000000005</v>
      </c>
      <c r="AD57" s="28">
        <f t="shared" ref="AD57:AF57" si="5">AVERAGE(AD52:AD56)</f>
        <v>23.999999999999996</v>
      </c>
      <c r="AE57" s="28">
        <f t="shared" si="5"/>
        <v>4.7902000000000005</v>
      </c>
      <c r="AF57" s="28">
        <f t="shared" si="5"/>
        <v>114.96862200000001</v>
      </c>
      <c r="AG57" s="14">
        <f t="shared" si="3"/>
        <v>5.6526239150000004</v>
      </c>
    </row>
  </sheetData>
  <mergeCells count="18">
    <mergeCell ref="AA52:AA57"/>
    <mergeCell ref="N23:T24"/>
    <mergeCell ref="Q18:R18"/>
    <mergeCell ref="S18:T18"/>
    <mergeCell ref="N18:N19"/>
    <mergeCell ref="O18:P18"/>
    <mergeCell ref="B6:E7"/>
    <mergeCell ref="G15:L16"/>
    <mergeCell ref="G9:G10"/>
    <mergeCell ref="H9:I9"/>
    <mergeCell ref="J9:K9"/>
    <mergeCell ref="L9:L10"/>
    <mergeCell ref="V36:Y37"/>
    <mergeCell ref="AA40:AA45"/>
    <mergeCell ref="AA46:AA51"/>
    <mergeCell ref="V27:V29"/>
    <mergeCell ref="V30:V32"/>
    <mergeCell ref="V33:V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Hirji</dc:creator>
  <cp:lastModifiedBy>Zain Hirji</cp:lastModifiedBy>
  <dcterms:created xsi:type="dcterms:W3CDTF">2026-01-02T01:04:14Z</dcterms:created>
  <dcterms:modified xsi:type="dcterms:W3CDTF">2026-01-09T18:37:47Z</dcterms:modified>
</cp:coreProperties>
</file>